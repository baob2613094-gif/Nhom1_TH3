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Nguyen Thi Ngoc Thu\Downloads\"/>
    </mc:Choice>
  </mc:AlternateContent>
  <xr:revisionPtr revIDLastSave="0" documentId="8_{15D76A88-489E-4E36-A6B4-BC3DBDFB4369}" xr6:coauthVersionLast="47" xr6:coauthVersionMax="47" xr10:uidLastSave="{00000000-0000-0000-0000-000000000000}"/>
  <bookViews>
    <workbookView xWindow="-110" yWindow="-110" windowWidth="19420" windowHeight="10420" firstSheet="4" activeTab="5" xr2:uid="{00000000-000D-0000-FFFF-FFFF00000000}"/>
  </bookViews>
  <sheets>
    <sheet name="Tổng hợp điểm" sheetId="1" r:id="rId1"/>
    <sheet name="Điểm thực hành các buổi" sheetId="3" r:id="rId2"/>
    <sheet name="Điểm bài tập lớn" sheetId="4" r:id="rId3"/>
    <sheet name="Điểm lý thuyết" sheetId="5" r:id="rId4"/>
    <sheet name="Các bảng tham chiếu &amp; Thống kê" sheetId="6" r:id="rId5"/>
    <sheet name="Sinh viên điểm &lt; 7" sheetId="9" r:id="rId6"/>
    <sheet name="Sinh viên điểm &gt;= 7" sheetId="10" r:id="rId7"/>
  </sheets>
  <definedNames>
    <definedName name="_xlnm._FilterDatabase" localSheetId="0" hidden="1">'Tổng hợp điểm'!$A$6:$K$20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F25" i="6" s="1"/>
  <c r="H8" i="1"/>
  <c r="H9" i="1"/>
  <c r="H10" i="1"/>
  <c r="H11" i="1"/>
  <c r="H12" i="1"/>
  <c r="H13" i="1"/>
  <c r="H14" i="1"/>
  <c r="H15" i="1"/>
  <c r="H16" i="1"/>
  <c r="H17" i="1"/>
  <c r="I17" i="1" s="1"/>
  <c r="H18" i="1"/>
  <c r="I18" i="1" s="1"/>
  <c r="J18" i="1" s="1"/>
  <c r="K18" i="1" s="1"/>
  <c r="H19" i="1"/>
  <c r="I19" i="1" s="1"/>
  <c r="H20" i="1"/>
  <c r="H7" i="1"/>
  <c r="G8" i="1"/>
  <c r="G9" i="1"/>
  <c r="G10" i="1"/>
  <c r="G11" i="1"/>
  <c r="G12" i="1"/>
  <c r="G13" i="1"/>
  <c r="G14" i="1"/>
  <c r="J14" i="1" s="1"/>
  <c r="K14" i="1" s="1"/>
  <c r="G15" i="1"/>
  <c r="G16" i="1"/>
  <c r="G17" i="1"/>
  <c r="J17" i="1" s="1"/>
  <c r="K17" i="1" s="1"/>
  <c r="G18" i="1"/>
  <c r="G19" i="1"/>
  <c r="J19" i="1" s="1"/>
  <c r="K19" i="1" s="1"/>
  <c r="G20" i="1"/>
  <c r="G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7" i="1"/>
  <c r="F24" i="6" l="1"/>
  <c r="I7" i="1"/>
  <c r="I9" i="1"/>
  <c r="I13" i="1"/>
  <c r="I12" i="1"/>
  <c r="J12" i="1" s="1"/>
  <c r="K12" i="1" s="1"/>
  <c r="K7" i="1"/>
  <c r="I11" i="1"/>
  <c r="I10" i="1"/>
  <c r="J11" i="1"/>
  <c r="K11" i="1" s="1"/>
  <c r="I20" i="1"/>
  <c r="J20" i="1" s="1"/>
  <c r="K20" i="1" s="1"/>
  <c r="I8" i="1"/>
  <c r="J8" i="1" s="1"/>
  <c r="K8" i="1" s="1"/>
  <c r="I16" i="1"/>
  <c r="J16" i="1" s="1"/>
  <c r="K16" i="1" s="1"/>
  <c r="I15" i="1"/>
  <c r="J15" i="1" s="1"/>
  <c r="K15" i="1" s="1"/>
  <c r="I14" i="1"/>
  <c r="J13" i="1"/>
  <c r="K13" i="1" s="1"/>
  <c r="J10" i="1"/>
  <c r="K10" i="1" s="1"/>
  <c r="J9" i="1"/>
  <c r="K9" i="1" s="1"/>
</calcChain>
</file>

<file path=xl/sharedStrings.xml><?xml version="1.0" encoding="utf-8"?>
<sst xmlns="http://schemas.openxmlformats.org/spreadsheetml/2006/main" count="255" uniqueCount="88">
  <si>
    <t>ĐIỂM THI HK1-2018-2019 (CT428)</t>
  </si>
  <si>
    <t>Ma CB</t>
  </si>
  <si>
    <t>Ho va ten</t>
  </si>
  <si>
    <t>Nguyen Minh Trung</t>
  </si>
  <si>
    <t>Ma MH</t>
  </si>
  <si>
    <t>CT428</t>
  </si>
  <si>
    <t>Ma NH</t>
  </si>
  <si>
    <t>Nam hoc</t>
  </si>
  <si>
    <t>2020 - 2021</t>
  </si>
  <si>
    <t>Hoc ky</t>
  </si>
  <si>
    <t>STT</t>
  </si>
  <si>
    <t>Mã SV</t>
  </si>
  <si>
    <t>Họ và tên</t>
  </si>
  <si>
    <t>Điểm TH 1</t>
  </si>
  <si>
    <t>Điểm TH 2</t>
  </si>
  <si>
    <t>Điểm TH 3</t>
  </si>
  <si>
    <t>Điểm BT lớn</t>
  </si>
  <si>
    <t>Điểm LT</t>
  </si>
  <si>
    <t>Điểm tổng</t>
  </si>
  <si>
    <t>Điểm theo thang điểm 10</t>
  </si>
  <si>
    <t>Điểm chữ</t>
  </si>
  <si>
    <t>0B1505719</t>
  </si>
  <si>
    <t>1B1505915</t>
  </si>
  <si>
    <t>0B1509874</t>
  </si>
  <si>
    <t>0B1509929</t>
  </si>
  <si>
    <t>2B1605223</t>
  </si>
  <si>
    <t>0B1605235</t>
  </si>
  <si>
    <t>0B1605249</t>
  </si>
  <si>
    <t>0B1605285</t>
  </si>
  <si>
    <t>0B1605291</t>
  </si>
  <si>
    <t>1B1605344</t>
  </si>
  <si>
    <t>4B1607025</t>
  </si>
  <si>
    <t>2B1609759</t>
  </si>
  <si>
    <t>5B1609765</t>
  </si>
  <si>
    <t>0B1609773</t>
  </si>
  <si>
    <t>Điểm thực hành các buổi</t>
  </si>
  <si>
    <t>B1505719</t>
  </si>
  <si>
    <t>Nguyễn Minh Hiếu</t>
  </si>
  <si>
    <t>B1505915</t>
  </si>
  <si>
    <t>Lý Minh Trí</t>
  </si>
  <si>
    <t>B1509874</t>
  </si>
  <si>
    <t>Nguyễn Kiều Mi</t>
  </si>
  <si>
    <t>B1509929</t>
  </si>
  <si>
    <t>Đặng Duy Linh</t>
  </si>
  <si>
    <t>B1605223</t>
  </si>
  <si>
    <t>Lê Thị Trúc Linh</t>
  </si>
  <si>
    <t>B1605235</t>
  </si>
  <si>
    <t>Phạm Thị Huỳnh</t>
  </si>
  <si>
    <t>B1605249</t>
  </si>
  <si>
    <t>Lê Minh Thông</t>
  </si>
  <si>
    <t>B1605285</t>
  </si>
  <si>
    <t>Huỳnh Thị Diễm</t>
  </si>
  <si>
    <t>B1605291</t>
  </si>
  <si>
    <t>Trần Thanh Nguyên</t>
  </si>
  <si>
    <t>B1605344</t>
  </si>
  <si>
    <t>Nguyễn Thị Đào</t>
  </si>
  <si>
    <t>B1607025</t>
  </si>
  <si>
    <t>Nguyễn Chí Thanh</t>
  </si>
  <si>
    <t>B1609759</t>
  </si>
  <si>
    <t>Nguyễn Hải Anh</t>
  </si>
  <si>
    <t>B1609765</t>
  </si>
  <si>
    <t>Trần Nam Dương</t>
  </si>
  <si>
    <t>B1609773</t>
  </si>
  <si>
    <t>Nguyễn Duy Khanh</t>
  </si>
  <si>
    <t>Điểm bài tập lớn</t>
  </si>
  <si>
    <t>Điểm BL lớn</t>
  </si>
  <si>
    <t>Nguyễn Văn Hiếu</t>
  </si>
  <si>
    <t xml:space="preserve">Nguyễn Thị Đào </t>
  </si>
  <si>
    <t>Điểm lý thuyết</t>
  </si>
  <si>
    <t>Bảng quy đổi điểm</t>
  </si>
  <si>
    <t>Bảng điểm chuyên cần</t>
  </si>
  <si>
    <t>Điểm theo thang điểm 4</t>
  </si>
  <si>
    <t>F</t>
  </si>
  <si>
    <t xml:space="preserve">Số buổi vắng </t>
  </si>
  <si>
    <t>Điểm chuyên cần</t>
  </si>
  <si>
    <t>D</t>
  </si>
  <si>
    <t>D+</t>
  </si>
  <si>
    <t>C</t>
  </si>
  <si>
    <t>C+</t>
  </si>
  <si>
    <t>B</t>
  </si>
  <si>
    <t>B+</t>
  </si>
  <si>
    <t>A</t>
  </si>
  <si>
    <t>Danh sách sinh viên</t>
  </si>
  <si>
    <t>Bảng thống kê theo điểm chữ</t>
  </si>
  <si>
    <t>Số lượng sinh viên</t>
  </si>
  <si>
    <t>Bảng thống kê sinh viên</t>
  </si>
  <si>
    <t>Số sinh viên điểm LT lớn = 0 hoặc điểm LT = -3</t>
  </si>
  <si>
    <t>Số SV nghỉ TH &gt;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</si>
</sst>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charset val="134"/>
      <scheme val="minor"/>
    </font>
    <font>
      <b/>
      <sz val="16"/>
      <color theme="1"/>
      <name val="Times New Roman"/>
      <charset val="134"/>
    </font>
    <font>
      <b/>
      <sz val="14"/>
      <color theme="1"/>
      <name val="Times New Roman"/>
      <charset val="134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sz val="12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6"/>
      <color theme="1"/>
      <name val="Times New Roman"/>
      <charset val="134"/>
    </font>
    <font>
      <sz val="11"/>
      <color theme="1"/>
      <name val="Times New Roman"/>
      <charset val="134"/>
    </font>
    <font>
      <b/>
      <sz val="18"/>
      <color theme="1"/>
      <name val="Times New Roman"/>
      <charset val="134"/>
    </font>
    <font>
      <sz val="16"/>
      <color theme="1"/>
      <name val="Times New Roman"/>
      <charset val="134"/>
    </font>
    <font>
      <sz val="18"/>
      <color theme="1"/>
      <name val="Times New Roman"/>
      <charset val="134"/>
    </font>
    <font>
      <sz val="18"/>
      <color theme="1"/>
      <name val="Aptos Narrow"/>
      <charset val="134"/>
      <scheme val="minor"/>
    </font>
    <font>
      <sz val="12"/>
      <color rgb="FF1F1F1F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/>
    <xf numFmtId="0" fontId="6" fillId="0" borderId="0" xfId="0" applyFont="1"/>
    <xf numFmtId="0" fontId="5" fillId="0" borderId="0" xfId="0" applyFont="1" applyAlignment="1">
      <alignment wrapText="1"/>
    </xf>
    <xf numFmtId="0" fontId="5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/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delete val="1"/>
          </c:dLbls>
          <c:val>
            <c:numRef>
              <c:f>'Tổng hợp điểm'!$J$7:$J$20</c:f>
              <c:numCache>
                <c:formatCode>General</c:formatCode>
                <c:ptCount val="14"/>
                <c:pt idx="0">
                  <c:v>5</c:v>
                </c:pt>
                <c:pt idx="1">
                  <c:v>6.2</c:v>
                </c:pt>
                <c:pt idx="2">
                  <c:v>5.8</c:v>
                </c:pt>
                <c:pt idx="3">
                  <c:v>5.7</c:v>
                </c:pt>
                <c:pt idx="4">
                  <c:v>5.6</c:v>
                </c:pt>
                <c:pt idx="5">
                  <c:v>8.1</c:v>
                </c:pt>
                <c:pt idx="6">
                  <c:v>6.4</c:v>
                </c:pt>
                <c:pt idx="7">
                  <c:v>0</c:v>
                </c:pt>
                <c:pt idx="8">
                  <c:v>6.8</c:v>
                </c:pt>
                <c:pt idx="9">
                  <c:v>7</c:v>
                </c:pt>
                <c:pt idx="10">
                  <c:v>0</c:v>
                </c:pt>
                <c:pt idx="11">
                  <c:v>7.5</c:v>
                </c:pt>
                <c:pt idx="12">
                  <c:v>0</c:v>
                </c:pt>
                <c:pt idx="13">
                  <c:v>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2F-45A2-84DA-816F1276724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1832</xdr:colOff>
      <xdr:row>5</xdr:row>
      <xdr:rowOff>52515</xdr:rowOff>
    </xdr:from>
    <xdr:to>
      <xdr:col>17</xdr:col>
      <xdr:colOff>19538</xdr:colOff>
      <xdr:row>15</xdr:row>
      <xdr:rowOff>97693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662C84E-2AAF-3D27-8195-BBAD1E8C9A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zoomScale="65" zoomScaleNormal="65" workbookViewId="0">
      <pane xSplit="3" ySplit="6" topLeftCell="H7" activePane="bottomRight" state="frozen"/>
      <selection pane="topRight" activeCell="D1" sqref="D1"/>
      <selection pane="bottomLeft" activeCell="A7" sqref="A7"/>
      <selection pane="bottomRight" activeCell="M21" sqref="M21"/>
    </sheetView>
  </sheetViews>
  <sheetFormatPr defaultColWidth="9" defaultRowHeight="14"/>
  <cols>
    <col min="2" max="2" width="14.36328125" customWidth="1"/>
    <col min="3" max="3" width="29.7265625" customWidth="1"/>
    <col min="4" max="4" width="13.6328125" customWidth="1"/>
    <col min="5" max="5" width="24.1796875" customWidth="1"/>
    <col min="6" max="6" width="17.08984375" customWidth="1"/>
    <col min="7" max="7" width="17.7265625" customWidth="1"/>
    <col min="8" max="8" width="13.26953125" customWidth="1"/>
    <col min="9" max="9" width="14.54296875" customWidth="1"/>
    <col min="10" max="10" width="30.81640625" customWidth="1"/>
    <col min="11" max="11" width="15" customWidth="1"/>
  </cols>
  <sheetData>
    <row r="1" spans="1:11" ht="24">
      <c r="A1" s="15"/>
      <c r="B1" s="16"/>
      <c r="C1" s="22" t="s">
        <v>0</v>
      </c>
      <c r="D1" s="22"/>
      <c r="E1" s="22"/>
      <c r="F1" s="22"/>
      <c r="G1" s="17"/>
      <c r="H1" s="17"/>
      <c r="J1" s="10"/>
    </row>
    <row r="2" spans="1:11" ht="15.5">
      <c r="A2" s="18"/>
      <c r="B2" s="18" t="s">
        <v>1</v>
      </c>
      <c r="C2" s="18">
        <v>1043</v>
      </c>
      <c r="D2" s="1" t="s">
        <v>2</v>
      </c>
      <c r="E2" s="1" t="s">
        <v>3</v>
      </c>
      <c r="J2" s="10"/>
    </row>
    <row r="3" spans="1:11" ht="15.5">
      <c r="A3" s="10"/>
      <c r="B3" s="10" t="s">
        <v>4</v>
      </c>
      <c r="C3" s="21" t="s">
        <v>5</v>
      </c>
      <c r="D3" s="20" t="s">
        <v>6</v>
      </c>
      <c r="E3" s="20">
        <v>8</v>
      </c>
      <c r="J3" s="10"/>
    </row>
    <row r="4" spans="1:11" ht="15.5">
      <c r="A4" s="18"/>
      <c r="B4" s="18" t="s">
        <v>7</v>
      </c>
      <c r="C4" s="21" t="s">
        <v>8</v>
      </c>
      <c r="D4" s="20" t="s">
        <v>9</v>
      </c>
      <c r="E4" s="20">
        <v>1</v>
      </c>
      <c r="J4" s="10"/>
    </row>
    <row r="5" spans="1:11" ht="15.5">
      <c r="J5" s="10"/>
    </row>
    <row r="6" spans="1:11" ht="15.5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16</v>
      </c>
      <c r="H6" s="1" t="s">
        <v>17</v>
      </c>
      <c r="I6" s="1" t="s">
        <v>18</v>
      </c>
      <c r="J6" s="1" t="s">
        <v>19</v>
      </c>
      <c r="K6" s="1" t="s">
        <v>20</v>
      </c>
    </row>
    <row r="7" spans="1:11" ht="15.5">
      <c r="A7" s="1">
        <v>1</v>
      </c>
      <c r="B7" s="1" t="s">
        <v>21</v>
      </c>
      <c r="C7" s="19" t="str">
        <f>VLOOKUP(RIGHT(B7, 8), 'Các bảng tham chiếu &amp; Thống kê'!$B$14:$C$27, 2, 0)</f>
        <v>Nguyễn Văn Hiếu</v>
      </c>
      <c r="D7" s="20">
        <f>VLOOKUP(RIGHT(B7, 8), 'Điểm thực hành các buổi'!$B$3:$F$16, 3, 0)</f>
        <v>0.45</v>
      </c>
      <c r="E7" s="20">
        <f>VLOOKUP(RIGHT(B7, 8), 'Điểm thực hành các buổi'!$B$3:$F$16, 4, 0)</f>
        <v>0.25</v>
      </c>
      <c r="F7" s="20">
        <f>VLOOKUP(RIGHT(B7, 8), 'Điểm thực hành các buổi'!$B$3:$F$16, 5, 0)</f>
        <v>0.3</v>
      </c>
      <c r="G7" s="20">
        <f>VLOOKUP(RIGHT(B7, 8), 'Điểm bài tập lớn'!$B$3:$D$30, 3, 0)</f>
        <v>0.5</v>
      </c>
      <c r="H7" s="20">
        <f>VLOOKUP(RIGHT(B7, 8), 'Điểm lý thuyết'!$B$3:$D$30, 3, 0)</f>
        <v>4.2</v>
      </c>
      <c r="I7" s="20">
        <f>ROUND(IF(H7 = -3, 0, D7 + E7 + F7 + G7 + 0.6 * H7), 1)</f>
        <v>4</v>
      </c>
      <c r="J7" s="20">
        <f>ROUND(IF(OR(G7=0, VALUE(LEFT(B7, 1))&gt;2), 0, I7 + VLOOKUP(VALUE(LEFT(B7, 1)), 'Các bảng tham chiếu &amp; Thống kê'!$E$3:$F$6, 2, 0)), 1)</f>
        <v>5</v>
      </c>
      <c r="K7" s="20" t="str">
        <f>VLOOKUP(J7, 'Các bảng tham chiếu &amp; Thống kê'!$A$3:$B$10, 2, 1)</f>
        <v>D+</v>
      </c>
    </row>
    <row r="8" spans="1:11" ht="15.5">
      <c r="A8" s="1">
        <v>2</v>
      </c>
      <c r="B8" s="1" t="s">
        <v>22</v>
      </c>
      <c r="C8" s="19" t="str">
        <f>VLOOKUP(RIGHT(B8, 8), 'Các bảng tham chiếu &amp; Thống kê'!$B$14:$C$27, 2, 0)</f>
        <v>Lý Minh Trí</v>
      </c>
      <c r="D8" s="20">
        <f>VLOOKUP(RIGHT(B8, 8), 'Điểm thực hành các buổi'!$B$3:$F$16, 3, 0)</f>
        <v>0.5</v>
      </c>
      <c r="E8" s="20">
        <f>VLOOKUP(RIGHT(B8, 8), 'Điểm thực hành các buổi'!$B$3:$F$16, 4, 0)</f>
        <v>0.35</v>
      </c>
      <c r="F8" s="20">
        <f>VLOOKUP(RIGHT(B8, 8), 'Điểm thực hành các buổi'!$B$3:$F$16, 5, 0)</f>
        <v>0.4</v>
      </c>
      <c r="G8" s="20">
        <f>VLOOKUP(RIGHT(B8, 8), 'Điểm bài tập lớn'!$B$3:$D$30, 3, 0)</f>
        <v>1</v>
      </c>
      <c r="H8" s="20">
        <f>VLOOKUP(RIGHT(B8, 8), 'Điểm lý thuyết'!$B$3:$D$30, 3, 0)</f>
        <v>5.8</v>
      </c>
      <c r="I8" s="20">
        <f t="shared" ref="I8:I20" si="0">ROUND(IF(H8 = -3, 0, D8 + E8 + F8 + G8 + 0.6 * H8), 1)</f>
        <v>5.7</v>
      </c>
      <c r="J8" s="20">
        <f>ROUND(IF(OR(G8=0, VALUE(LEFT(B8, 1))&gt;2), 0, I8 + VLOOKUP(VALUE(LEFT(B8, 1)), 'Các bảng tham chiếu &amp; Thống kê'!$E$3:$F$6, 2, 0)), 1)</f>
        <v>6.2</v>
      </c>
      <c r="K8" s="20" t="str">
        <f>VLOOKUP(J8, 'Các bảng tham chiếu &amp; Thống kê'!$A$3:$B$10, 2, 1)</f>
        <v>C</v>
      </c>
    </row>
    <row r="9" spans="1:11" ht="15.5">
      <c r="A9" s="1">
        <v>3</v>
      </c>
      <c r="B9" s="1" t="s">
        <v>23</v>
      </c>
      <c r="C9" s="19" t="str">
        <f>VLOOKUP(RIGHT(B9, 8), 'Các bảng tham chiếu &amp; Thống kê'!$B$14:$C$27, 2, 0)</f>
        <v>Nguyễn Kiều Mi</v>
      </c>
      <c r="D9" s="20">
        <f>VLOOKUP(RIGHT(B9, 8), 'Điểm thực hành các buổi'!$B$3:$F$16, 3, 0)</f>
        <v>0.25</v>
      </c>
      <c r="E9" s="20">
        <f>VLOOKUP(RIGHT(B9, 8), 'Điểm thực hành các buổi'!$B$3:$F$16, 4, 0)</f>
        <v>0.25</v>
      </c>
      <c r="F9" s="20">
        <f>VLOOKUP(RIGHT(B9, 8), 'Điểm thực hành các buổi'!$B$3:$F$16, 5, 0)</f>
        <v>0.3</v>
      </c>
      <c r="G9" s="20">
        <f>VLOOKUP(RIGHT(B9, 8), 'Điểm bài tập lớn'!$B$3:$D$30, 3, 0)</f>
        <v>0.5</v>
      </c>
      <c r="H9" s="20">
        <f>VLOOKUP(RIGHT(B9, 8), 'Điểm lý thuyết'!$B$3:$D$30, 3, 0)</f>
        <v>5.8</v>
      </c>
      <c r="I9" s="20">
        <f t="shared" si="0"/>
        <v>4.8</v>
      </c>
      <c r="J9" s="20">
        <f>ROUND(IF(OR(G9=0, VALUE(LEFT(B9, 1))&gt;2), 0, I9 + VLOOKUP(VALUE(LEFT(B9, 1)), 'Các bảng tham chiếu &amp; Thống kê'!$E$3:$F$6, 2, 0)), 1)</f>
        <v>5.8</v>
      </c>
      <c r="K9" s="20" t="str">
        <f>VLOOKUP(J9, 'Các bảng tham chiếu &amp; Thống kê'!$A$3:$B$10, 2, 1)</f>
        <v>C</v>
      </c>
    </row>
    <row r="10" spans="1:11" ht="15.5">
      <c r="A10" s="1">
        <v>4</v>
      </c>
      <c r="B10" s="1" t="s">
        <v>24</v>
      </c>
      <c r="C10" s="19" t="str">
        <f>VLOOKUP(RIGHT(B10, 8), 'Các bảng tham chiếu &amp; Thống kê'!$B$14:$C$27, 2, 0)</f>
        <v>Đặng Duy Linh</v>
      </c>
      <c r="D10" s="20">
        <f>VLOOKUP(RIGHT(B10, 8), 'Điểm thực hành các buổi'!$B$3:$F$16, 3, 0)</f>
        <v>0.4</v>
      </c>
      <c r="E10" s="20">
        <f>VLOOKUP(RIGHT(B10, 8), 'Điểm thực hành các buổi'!$B$3:$F$16, 4, 0)</f>
        <v>0.25</v>
      </c>
      <c r="F10" s="20">
        <f>VLOOKUP(RIGHT(B10, 8), 'Điểm thực hành các buổi'!$B$3:$F$16, 5, 0)</f>
        <v>0.35</v>
      </c>
      <c r="G10" s="20">
        <f>VLOOKUP(RIGHT(B10, 8), 'Điểm bài tập lớn'!$B$3:$D$30, 3, 0)</f>
        <v>1</v>
      </c>
      <c r="H10" s="20">
        <f>VLOOKUP(RIGHT(B10, 8), 'Điểm lý thuyết'!$B$3:$D$30, 3, 0)</f>
        <v>4.5</v>
      </c>
      <c r="I10" s="20">
        <f t="shared" si="0"/>
        <v>4.7</v>
      </c>
      <c r="J10" s="20">
        <f>ROUND(IF(OR(G10=0, VALUE(LEFT(B10, 1))&gt;2), 0, I10 + VLOOKUP(VALUE(LEFT(B10, 1)), 'Các bảng tham chiếu &amp; Thống kê'!$E$3:$F$6, 2, 0)), 1)</f>
        <v>5.7</v>
      </c>
      <c r="K10" s="20" t="str">
        <f>VLOOKUP(J10, 'Các bảng tham chiếu &amp; Thống kê'!$A$3:$B$10, 2, 1)</f>
        <v>C</v>
      </c>
    </row>
    <row r="11" spans="1:11" ht="15.5">
      <c r="A11" s="1">
        <v>5</v>
      </c>
      <c r="B11" s="1" t="s">
        <v>25</v>
      </c>
      <c r="C11" s="19" t="str">
        <f>VLOOKUP(RIGHT(B11, 8), 'Các bảng tham chiếu &amp; Thống kê'!$B$14:$C$27, 2, 0)</f>
        <v>Lê Thị Trúc Linh</v>
      </c>
      <c r="D11" s="20">
        <f>VLOOKUP(RIGHT(B11, 8), 'Điểm thực hành các buổi'!$B$3:$F$16, 3, 0)</f>
        <v>0.45</v>
      </c>
      <c r="E11" s="20">
        <f>VLOOKUP(RIGHT(B11, 8), 'Điểm thực hành các buổi'!$B$3:$F$16, 4, 0)</f>
        <v>0.4</v>
      </c>
      <c r="F11" s="20">
        <f>VLOOKUP(RIGHT(B11, 8), 'Điểm thực hành các buổi'!$B$3:$F$16, 5, 0)</f>
        <v>0.35</v>
      </c>
      <c r="G11" s="20">
        <f>VLOOKUP(RIGHT(B11, 8), 'Điểm bài tập lớn'!$B$3:$D$30, 3, 0)</f>
        <v>0.75</v>
      </c>
      <c r="H11" s="20">
        <f>VLOOKUP(RIGHT(B11, 8), 'Điểm lý thuyết'!$B$3:$D$30, 3, 0)</f>
        <v>5.5</v>
      </c>
      <c r="I11" s="20">
        <f t="shared" si="0"/>
        <v>5.3</v>
      </c>
      <c r="J11" s="20">
        <f>ROUND(IF(OR(G11=0, VALUE(LEFT(B11, 1))&gt;2), 0, I11 + VLOOKUP(VALUE(LEFT(B11, 1)), 'Các bảng tham chiếu &amp; Thống kê'!$E$3:$F$6, 2, 0)), 1)</f>
        <v>5.6</v>
      </c>
      <c r="K11" s="20" t="str">
        <f>VLOOKUP(J11, 'Các bảng tham chiếu &amp; Thống kê'!$A$3:$B$10, 2, 1)</f>
        <v>C</v>
      </c>
    </row>
    <row r="12" spans="1:11" ht="15.5">
      <c r="A12" s="1">
        <v>6</v>
      </c>
      <c r="B12" s="1" t="s">
        <v>26</v>
      </c>
      <c r="C12" s="19" t="str">
        <f>VLOOKUP(RIGHT(B12, 8), 'Các bảng tham chiếu &amp; Thống kê'!$B$14:$C$27, 2, 0)</f>
        <v>Phạm Thị Huỳnh</v>
      </c>
      <c r="D12" s="20">
        <f>VLOOKUP(RIGHT(B12, 8), 'Điểm thực hành các buổi'!$B$3:$F$16, 3, 0)</f>
        <v>0.4</v>
      </c>
      <c r="E12" s="20">
        <f>VLOOKUP(RIGHT(B12, 8), 'Điểm thực hành các buổi'!$B$3:$F$16, 4, 0)</f>
        <v>0.45</v>
      </c>
      <c r="F12" s="20">
        <f>VLOOKUP(RIGHT(B12, 8), 'Điểm thực hành các buổi'!$B$3:$F$16, 5, 0)</f>
        <v>0.5</v>
      </c>
      <c r="G12" s="20">
        <f>VLOOKUP(RIGHT(B12, 8), 'Điểm bài tập lớn'!$B$3:$D$30, 3, 0)</f>
        <v>1.2</v>
      </c>
      <c r="H12" s="20">
        <f>VLOOKUP(RIGHT(B12, 8), 'Điểm lý thuyết'!$B$3:$D$30, 3, 0)</f>
        <v>7.5</v>
      </c>
      <c r="I12" s="20">
        <f t="shared" si="0"/>
        <v>7.1</v>
      </c>
      <c r="J12" s="20">
        <f>ROUND(IF(OR(G12=0, VALUE(LEFT(B12, 1))&gt;2), 0, I12 + VLOOKUP(VALUE(LEFT(B12, 1)), 'Các bảng tham chiếu &amp; Thống kê'!$E$3:$F$6, 2, 0)), 1)</f>
        <v>8.1</v>
      </c>
      <c r="K12" s="20" t="str">
        <f>VLOOKUP(J12, 'Các bảng tham chiếu &amp; Thống kê'!$A$3:$B$10, 2, 1)</f>
        <v>B+</v>
      </c>
    </row>
    <row r="13" spans="1:11" ht="15.5">
      <c r="A13" s="1">
        <v>7</v>
      </c>
      <c r="B13" s="1" t="s">
        <v>27</v>
      </c>
      <c r="C13" s="19" t="str">
        <f>VLOOKUP(RIGHT(B13, 8), 'Các bảng tham chiếu &amp; Thống kê'!$B$14:$C$27, 2, 0)</f>
        <v>Lê Minh Thông</v>
      </c>
      <c r="D13" s="20">
        <f>VLOOKUP(RIGHT(B13, 8), 'Điểm thực hành các buổi'!$B$3:$F$16, 3, 0)</f>
        <v>0.4</v>
      </c>
      <c r="E13" s="20">
        <f>VLOOKUP(RIGHT(B13, 8), 'Điểm thực hành các buổi'!$B$3:$F$16, 4, 0)</f>
        <v>0.4</v>
      </c>
      <c r="F13" s="20">
        <f>VLOOKUP(RIGHT(B13, 8), 'Điểm thực hành các buổi'!$B$3:$F$16, 5, 0)</f>
        <v>0.4</v>
      </c>
      <c r="G13" s="20">
        <f>VLOOKUP(RIGHT(B13, 8), 'Điểm bài tập lớn'!$B$3:$D$30, 3, 0)</f>
        <v>1</v>
      </c>
      <c r="H13" s="20">
        <f>VLOOKUP(RIGHT(B13, 8), 'Điểm lý thuyết'!$B$3:$D$30, 3, 0)</f>
        <v>5.3</v>
      </c>
      <c r="I13" s="20">
        <f t="shared" si="0"/>
        <v>5.4</v>
      </c>
      <c r="J13" s="20">
        <f>ROUND(IF(OR(G13=0, VALUE(LEFT(B13, 1))&gt;2), 0, I13 + VLOOKUP(VALUE(LEFT(B13, 1)), 'Các bảng tham chiếu &amp; Thống kê'!$E$3:$F$6, 2, 0)), 1)</f>
        <v>6.4</v>
      </c>
      <c r="K13" s="20" t="str">
        <f>VLOOKUP(J13, 'Các bảng tham chiếu &amp; Thống kê'!$A$3:$B$10, 2, 1)</f>
        <v>C</v>
      </c>
    </row>
    <row r="14" spans="1:11" ht="15.5">
      <c r="A14" s="1">
        <v>8</v>
      </c>
      <c r="B14" s="1" t="s">
        <v>28</v>
      </c>
      <c r="C14" s="19" t="str">
        <f>VLOOKUP(RIGHT(B14, 8), 'Các bảng tham chiếu &amp; Thống kê'!$B$14:$C$27, 2, 0)</f>
        <v>Huỳnh Thị Diễm</v>
      </c>
      <c r="D14" s="20">
        <f>VLOOKUP(RIGHT(B14, 8), 'Điểm thực hành các buổi'!$B$3:$F$16, 3, 0)</f>
        <v>0.45</v>
      </c>
      <c r="E14" s="20">
        <f>VLOOKUP(RIGHT(B14, 8), 'Điểm thực hành các buổi'!$B$3:$F$16, 4, 0)</f>
        <v>0.4</v>
      </c>
      <c r="F14" s="20">
        <f>VLOOKUP(RIGHT(B14, 8), 'Điểm thực hành các buổi'!$B$3:$F$16, 5, 0)</f>
        <v>0.45</v>
      </c>
      <c r="G14" s="20">
        <f>VLOOKUP(RIGHT(B14, 8), 'Điểm bài tập lớn'!$B$3:$D$30, 3, 0)</f>
        <v>0</v>
      </c>
      <c r="H14" s="20">
        <f>VLOOKUP(RIGHT(B14, 8), 'Điểm lý thuyết'!$B$3:$D$30, 3, 0)</f>
        <v>6.8</v>
      </c>
      <c r="I14" s="20">
        <f t="shared" si="0"/>
        <v>5.4</v>
      </c>
      <c r="J14" s="20">
        <f>ROUND(IF(OR(G14=0, VALUE(LEFT(B14, 1))&gt;2), 0, I14 + VLOOKUP(VALUE(LEFT(B14, 1)), 'Các bảng tham chiếu &amp; Thống kê'!$E$3:$F$6, 2, 0)), 1)</f>
        <v>0</v>
      </c>
      <c r="K14" s="20" t="str">
        <f>VLOOKUP(J14, 'Các bảng tham chiếu &amp; Thống kê'!$A$3:$B$10, 2, 1)</f>
        <v>F</v>
      </c>
    </row>
    <row r="15" spans="1:11" ht="15.5">
      <c r="A15" s="1">
        <v>9</v>
      </c>
      <c r="B15" s="1" t="s">
        <v>29</v>
      </c>
      <c r="C15" s="19" t="str">
        <f>VLOOKUP(RIGHT(B15, 8), 'Các bảng tham chiếu &amp; Thống kê'!$B$14:$C$27, 2, 0)</f>
        <v>Trần Thanh Nguyên</v>
      </c>
      <c r="D15" s="20">
        <f>VLOOKUP(RIGHT(B15, 8), 'Điểm thực hành các buổi'!$B$3:$F$16, 3, 0)</f>
        <v>0.45</v>
      </c>
      <c r="E15" s="20">
        <f>VLOOKUP(RIGHT(B15, 8), 'Điểm thực hành các buổi'!$B$3:$F$16, 4, 0)</f>
        <v>0.4</v>
      </c>
      <c r="F15" s="20">
        <f>VLOOKUP(RIGHT(B15, 8), 'Điểm thực hành các buổi'!$B$3:$F$16, 5, 0)</f>
        <v>0.4</v>
      </c>
      <c r="G15" s="20">
        <f>VLOOKUP(RIGHT(B15, 8), 'Điểm bài tập lớn'!$B$3:$D$30, 3, 0)</f>
        <v>0.75</v>
      </c>
      <c r="H15" s="20">
        <f>VLOOKUP(RIGHT(B15, 8), 'Điểm lý thuyết'!$B$3:$D$30, 3, 0)</f>
        <v>6.3</v>
      </c>
      <c r="I15" s="20">
        <f t="shared" si="0"/>
        <v>5.8</v>
      </c>
      <c r="J15" s="20">
        <f>ROUND(IF(OR(G15=0, VALUE(LEFT(B15, 1))&gt;2), 0, I15 + VLOOKUP(VALUE(LEFT(B15, 1)), 'Các bảng tham chiếu &amp; Thống kê'!$E$3:$F$6, 2, 0)), 1)</f>
        <v>6.8</v>
      </c>
      <c r="K15" s="20" t="str">
        <f>VLOOKUP(J15, 'Các bảng tham chiếu &amp; Thống kê'!$A$3:$B$10, 2, 1)</f>
        <v>C+</v>
      </c>
    </row>
    <row r="16" spans="1:11" ht="15.5">
      <c r="A16" s="1">
        <v>10</v>
      </c>
      <c r="B16" s="1" t="s">
        <v>30</v>
      </c>
      <c r="C16" s="19" t="str">
        <f>VLOOKUP(RIGHT(B16, 8), 'Các bảng tham chiếu &amp; Thống kê'!$B$14:$C$27, 2, 0)</f>
        <v xml:space="preserve">Nguyễn Thị Đào </v>
      </c>
      <c r="D16" s="20">
        <f>VLOOKUP(RIGHT(B16, 8), 'Điểm thực hành các buổi'!$B$3:$F$16, 3, 0)</f>
        <v>0.3</v>
      </c>
      <c r="E16" s="20">
        <f>VLOOKUP(RIGHT(B16, 8), 'Điểm thực hành các buổi'!$B$3:$F$16, 4, 0)</f>
        <v>0.5</v>
      </c>
      <c r="F16" s="20">
        <f>VLOOKUP(RIGHT(B16, 8), 'Điểm thực hành các buổi'!$B$3:$F$16, 5, 0)</f>
        <v>0.45</v>
      </c>
      <c r="G16" s="20">
        <f>VLOOKUP(RIGHT(B16, 8), 'Điểm bài tập lớn'!$B$3:$D$30, 3, 0)</f>
        <v>0.3</v>
      </c>
      <c r="H16" s="20">
        <f>VLOOKUP(RIGHT(B16, 8), 'Điểm lý thuyết'!$B$3:$D$30, 3, 0)</f>
        <v>8.3000000000000007</v>
      </c>
      <c r="I16" s="20">
        <f t="shared" si="0"/>
        <v>6.5</v>
      </c>
      <c r="J16" s="20">
        <f>ROUND(IF(OR(G16=0, VALUE(LEFT(B16, 1))&gt;2), 0, I16 + VLOOKUP(VALUE(LEFT(B16, 1)), 'Các bảng tham chiếu &amp; Thống kê'!$E$3:$F$6, 2, 0)), 1)</f>
        <v>7</v>
      </c>
      <c r="K16" s="20" t="str">
        <f>VLOOKUP(J16, 'Các bảng tham chiếu &amp; Thống kê'!$A$3:$B$10, 2, 1)</f>
        <v>B</v>
      </c>
    </row>
    <row r="17" spans="1:11" ht="15.5">
      <c r="A17" s="1">
        <v>11</v>
      </c>
      <c r="B17" s="1" t="s">
        <v>31</v>
      </c>
      <c r="C17" s="19" t="str">
        <f>VLOOKUP(RIGHT(B17, 8), 'Các bảng tham chiếu &amp; Thống kê'!$B$14:$C$27, 2, 0)</f>
        <v>Nguyễn Chí Thanh</v>
      </c>
      <c r="D17" s="20">
        <f>VLOOKUP(RIGHT(B17, 8), 'Điểm thực hành các buổi'!$B$3:$F$16, 3, 0)</f>
        <v>0.4</v>
      </c>
      <c r="E17" s="20">
        <f>VLOOKUP(RIGHT(B17, 8), 'Điểm thực hành các buổi'!$B$3:$F$16, 4, 0)</f>
        <v>0.45</v>
      </c>
      <c r="F17" s="20">
        <f>VLOOKUP(RIGHT(B17, 8), 'Điểm thực hành các buổi'!$B$3:$F$16, 5, 0)</f>
        <v>0.4</v>
      </c>
      <c r="G17" s="20">
        <f>VLOOKUP(RIGHT(B17, 8), 'Điểm bài tập lớn'!$B$3:$D$30, 3, 0)</f>
        <v>0.3</v>
      </c>
      <c r="H17" s="20">
        <f>VLOOKUP(RIGHT(B17, 8), 'Điểm lý thuyết'!$B$3:$D$30, 3, 0)</f>
        <v>-3</v>
      </c>
      <c r="I17" s="20">
        <f t="shared" si="0"/>
        <v>0</v>
      </c>
      <c r="J17" s="20">
        <f>ROUND(IF(OR(G17=0, VALUE(LEFT(B17, 1))&gt;2), 0, I17 + VLOOKUP(VALUE(LEFT(B17, 1)), 'Các bảng tham chiếu &amp; Thống kê'!$E$3:$F$6, 2, 0)), 1)</f>
        <v>0</v>
      </c>
      <c r="K17" s="20" t="str">
        <f>VLOOKUP(J17, 'Các bảng tham chiếu &amp; Thống kê'!$A$3:$B$10, 2, 1)</f>
        <v>F</v>
      </c>
    </row>
    <row r="18" spans="1:11" ht="15.5">
      <c r="A18" s="1">
        <v>12</v>
      </c>
      <c r="B18" s="1" t="s">
        <v>32</v>
      </c>
      <c r="C18" s="19" t="str">
        <f>VLOOKUP(RIGHT(B18, 8), 'Các bảng tham chiếu &amp; Thống kê'!$B$14:$C$27, 2, 0)</f>
        <v>Nguyễn Hải Anh</v>
      </c>
      <c r="D18" s="20">
        <f>VLOOKUP(RIGHT(B18, 8), 'Điểm thực hành các buổi'!$B$3:$F$16, 3, 0)</f>
        <v>0.5</v>
      </c>
      <c r="E18" s="20">
        <f>VLOOKUP(RIGHT(B18, 8), 'Điểm thực hành các buổi'!$B$3:$F$16, 4, 0)</f>
        <v>0.5</v>
      </c>
      <c r="F18" s="20">
        <f>VLOOKUP(RIGHT(B18, 8), 'Điểm thực hành các buổi'!$B$3:$F$16, 5, 0)</f>
        <v>0.45</v>
      </c>
      <c r="G18" s="20">
        <f>VLOOKUP(RIGHT(B18, 8), 'Điểm bài tập lớn'!$B$3:$D$30, 3, 0)</f>
        <v>1.5</v>
      </c>
      <c r="H18" s="20">
        <f>VLOOKUP(RIGHT(B18, 8), 'Điểm lý thuyết'!$B$3:$D$30, 3, 0)</f>
        <v>7</v>
      </c>
      <c r="I18" s="20">
        <f t="shared" si="0"/>
        <v>7.2</v>
      </c>
      <c r="J18" s="20">
        <f>ROUND(IF(OR(G18=0, VALUE(LEFT(B18, 1))&gt;2), 0, I18 + VLOOKUP(VALUE(LEFT(B18, 1)), 'Các bảng tham chiếu &amp; Thống kê'!$E$3:$F$6, 2, 0)), 1)</f>
        <v>7.5</v>
      </c>
      <c r="K18" s="20" t="str">
        <f>VLOOKUP(J18, 'Các bảng tham chiếu &amp; Thống kê'!$A$3:$B$10, 2, 1)</f>
        <v>B</v>
      </c>
    </row>
    <row r="19" spans="1:11" ht="15.5">
      <c r="A19" s="1">
        <v>13</v>
      </c>
      <c r="B19" s="1" t="s">
        <v>33</v>
      </c>
      <c r="C19" s="19" t="str">
        <f>VLOOKUP(RIGHT(B19, 8), 'Các bảng tham chiếu &amp; Thống kê'!$B$14:$C$27, 2, 0)</f>
        <v>Trần Nam Dương</v>
      </c>
      <c r="D19" s="20">
        <f>VLOOKUP(RIGHT(B19, 8), 'Điểm thực hành các buổi'!$B$3:$F$16, 3, 0)</f>
        <v>0.4</v>
      </c>
      <c r="E19" s="20">
        <f>VLOOKUP(RIGHT(B19, 8), 'Điểm thực hành các buổi'!$B$3:$F$16, 4, 0)</f>
        <v>0.4</v>
      </c>
      <c r="F19" s="20">
        <f>VLOOKUP(RIGHT(B19, 8), 'Điểm thực hành các buổi'!$B$3:$F$16, 5, 0)</f>
        <v>0.35</v>
      </c>
      <c r="G19" s="20">
        <f>VLOOKUP(RIGHT(B19, 8), 'Điểm bài tập lớn'!$B$3:$D$30, 3, 0)</f>
        <v>1.35</v>
      </c>
      <c r="H19" s="20">
        <f>VLOOKUP(RIGHT(B19, 8), 'Điểm lý thuyết'!$B$3:$D$30, 3, 0)</f>
        <v>-3</v>
      </c>
      <c r="I19" s="20">
        <f t="shared" si="0"/>
        <v>0</v>
      </c>
      <c r="J19" s="20">
        <f>ROUND(IF(OR(G19=0, VALUE(LEFT(B19, 1))&gt;2), 0, I19 + VLOOKUP(VALUE(LEFT(B19, 1)), 'Các bảng tham chiếu &amp; Thống kê'!$E$3:$F$6, 2, 0)), 1)</f>
        <v>0</v>
      </c>
      <c r="K19" s="20" t="str">
        <f>VLOOKUP(J19, 'Các bảng tham chiếu &amp; Thống kê'!$A$3:$B$10, 2, 1)</f>
        <v>F</v>
      </c>
    </row>
    <row r="20" spans="1:11" ht="15.5">
      <c r="A20" s="1">
        <v>14</v>
      </c>
      <c r="B20" s="1" t="s">
        <v>34</v>
      </c>
      <c r="C20" s="19" t="str">
        <f>VLOOKUP(RIGHT(B20, 8), 'Các bảng tham chiếu &amp; Thống kê'!$B$14:$C$27, 2, 0)</f>
        <v>Nguyễn Duy Khanh</v>
      </c>
      <c r="D20" s="20">
        <f>VLOOKUP(RIGHT(B20, 8), 'Điểm thực hành các buổi'!$B$3:$F$16, 3, 0)</f>
        <v>0.35</v>
      </c>
      <c r="E20" s="20">
        <f>VLOOKUP(RIGHT(B20, 8), 'Điểm thực hành các buổi'!$B$3:$F$16, 4, 0)</f>
        <v>0.4</v>
      </c>
      <c r="F20" s="20">
        <f>VLOOKUP(RIGHT(B20, 8), 'Điểm thực hành các buổi'!$B$3:$F$16, 5, 0)</f>
        <v>0</v>
      </c>
      <c r="G20" s="20">
        <f>VLOOKUP(RIGHT(B20, 8), 'Điểm bài tập lớn'!$B$3:$D$30, 3, 0)</f>
        <v>0.85</v>
      </c>
      <c r="H20" s="20">
        <f>VLOOKUP(RIGHT(B20, 8), 'Điểm lý thuyết'!$B$3:$D$30, 3, 0)</f>
        <v>6.5</v>
      </c>
      <c r="I20" s="20">
        <f t="shared" si="0"/>
        <v>5.5</v>
      </c>
      <c r="J20" s="20">
        <f>ROUND(IF(OR(G20=0, VALUE(LEFT(B20, 1))&gt;2), 0, I20 + VLOOKUP(VALUE(LEFT(B20, 1)), 'Các bảng tham chiếu &amp; Thống kê'!$E$3:$F$6, 2, 0)), 1)</f>
        <v>6.5</v>
      </c>
      <c r="K20" s="20" t="str">
        <f>VLOOKUP(J20, 'Các bảng tham chiếu &amp; Thống kê'!$A$3:$B$10, 2, 1)</f>
        <v>C+</v>
      </c>
    </row>
    <row r="21" spans="1:11" ht="15.5">
      <c r="J21" s="10"/>
    </row>
    <row r="22" spans="1:11" ht="15.5">
      <c r="J22" s="10"/>
    </row>
  </sheetData>
  <mergeCells count="1">
    <mergeCell ref="C1:F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"/>
  <sheetViews>
    <sheetView workbookViewId="0">
      <selection activeCell="B3" sqref="B3:F16"/>
    </sheetView>
  </sheetViews>
  <sheetFormatPr defaultColWidth="9" defaultRowHeight="14"/>
  <cols>
    <col min="2" max="2" width="12.1796875" customWidth="1"/>
    <col min="3" max="3" width="39.6328125" customWidth="1"/>
    <col min="4" max="4" width="14.26953125" customWidth="1"/>
    <col min="5" max="5" width="13" customWidth="1"/>
    <col min="6" max="6" width="12.81640625" customWidth="1"/>
  </cols>
  <sheetData>
    <row r="1" spans="1:12" ht="22.5">
      <c r="B1" s="14"/>
      <c r="C1" s="13" t="s">
        <v>35</v>
      </c>
      <c r="D1" s="14"/>
      <c r="K1" s="10"/>
    </row>
    <row r="2" spans="1:12" ht="15.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K2" s="10"/>
    </row>
    <row r="3" spans="1:12" ht="15.5">
      <c r="A3" s="1">
        <v>1</v>
      </c>
      <c r="B3" s="1" t="s">
        <v>36</v>
      </c>
      <c r="C3" s="1" t="s">
        <v>37</v>
      </c>
      <c r="D3" s="1">
        <v>0.45</v>
      </c>
      <c r="E3" s="1">
        <v>0.25</v>
      </c>
      <c r="F3" s="11">
        <v>0.3</v>
      </c>
      <c r="K3" s="10"/>
    </row>
    <row r="4" spans="1:12" ht="15.5">
      <c r="A4" s="1">
        <v>2</v>
      </c>
      <c r="B4" s="1" t="s">
        <v>38</v>
      </c>
      <c r="C4" s="1" t="s">
        <v>39</v>
      </c>
      <c r="D4" s="1">
        <v>0.5</v>
      </c>
      <c r="E4" s="1">
        <v>0.35</v>
      </c>
      <c r="F4" s="1">
        <v>0.4</v>
      </c>
      <c r="K4" s="10"/>
    </row>
    <row r="5" spans="1:12" ht="16" customHeight="1">
      <c r="A5" s="1">
        <v>3</v>
      </c>
      <c r="B5" s="1" t="s">
        <v>40</v>
      </c>
      <c r="C5" s="12" t="s">
        <v>41</v>
      </c>
      <c r="D5" s="1">
        <v>0.25</v>
      </c>
      <c r="E5" s="1">
        <v>0.25</v>
      </c>
      <c r="F5" s="1">
        <v>0.3</v>
      </c>
      <c r="K5" s="10"/>
    </row>
    <row r="6" spans="1:12" ht="15.5">
      <c r="A6" s="1">
        <v>4</v>
      </c>
      <c r="B6" s="1" t="s">
        <v>42</v>
      </c>
      <c r="C6" s="1" t="s">
        <v>43</v>
      </c>
      <c r="D6" s="1">
        <v>0.4</v>
      </c>
      <c r="E6" s="1">
        <v>0.25</v>
      </c>
      <c r="F6" s="1">
        <v>0.35</v>
      </c>
      <c r="G6" s="1"/>
      <c r="H6" s="1"/>
      <c r="I6" s="1"/>
      <c r="J6" s="1"/>
      <c r="K6" s="1"/>
      <c r="L6" s="1"/>
    </row>
    <row r="7" spans="1:12" ht="15.5">
      <c r="A7" s="1">
        <v>5</v>
      </c>
      <c r="B7" s="1" t="s">
        <v>44</v>
      </c>
      <c r="C7" s="12" t="s">
        <v>45</v>
      </c>
      <c r="D7" s="1">
        <v>0.45</v>
      </c>
      <c r="E7" s="1">
        <v>0.4</v>
      </c>
      <c r="F7" s="1">
        <v>0.35</v>
      </c>
      <c r="K7" s="10"/>
    </row>
    <row r="8" spans="1:12" ht="15.5">
      <c r="A8" s="1">
        <v>6</v>
      </c>
      <c r="B8" s="1" t="s">
        <v>46</v>
      </c>
      <c r="C8" s="12" t="s">
        <v>47</v>
      </c>
      <c r="D8" s="1">
        <v>0.4</v>
      </c>
      <c r="E8" s="1">
        <v>0.45</v>
      </c>
      <c r="F8" s="1">
        <v>0.5</v>
      </c>
      <c r="K8" s="10"/>
    </row>
    <row r="9" spans="1:12" ht="15.5">
      <c r="A9" s="1">
        <v>7</v>
      </c>
      <c r="B9" s="1" t="s">
        <v>48</v>
      </c>
      <c r="C9" s="12" t="s">
        <v>49</v>
      </c>
      <c r="D9" s="1">
        <v>0.4</v>
      </c>
      <c r="E9" s="1">
        <v>0.4</v>
      </c>
      <c r="F9" s="1">
        <v>0.4</v>
      </c>
      <c r="K9" s="10"/>
    </row>
    <row r="10" spans="1:12" ht="15.5">
      <c r="A10" s="1">
        <v>8</v>
      </c>
      <c r="B10" s="1" t="s">
        <v>50</v>
      </c>
      <c r="C10" s="12" t="s">
        <v>51</v>
      </c>
      <c r="D10" s="1">
        <v>0.45</v>
      </c>
      <c r="E10" s="1">
        <v>0.4</v>
      </c>
      <c r="F10" s="1">
        <v>0.45</v>
      </c>
      <c r="K10" s="10"/>
    </row>
    <row r="11" spans="1:12" ht="15.5">
      <c r="A11" s="1">
        <v>9</v>
      </c>
      <c r="B11" s="1" t="s">
        <v>52</v>
      </c>
      <c r="C11" s="12" t="s">
        <v>53</v>
      </c>
      <c r="D11" s="1">
        <v>0.45</v>
      </c>
      <c r="E11" s="1">
        <v>0.4</v>
      </c>
      <c r="F11" s="1">
        <v>0.4</v>
      </c>
      <c r="K11" s="10"/>
    </row>
    <row r="12" spans="1:12" ht="15.5">
      <c r="A12" s="1">
        <v>10</v>
      </c>
      <c r="B12" s="1" t="s">
        <v>54</v>
      </c>
      <c r="C12" s="12" t="s">
        <v>55</v>
      </c>
      <c r="D12" s="1">
        <v>0.3</v>
      </c>
      <c r="E12" s="1">
        <v>0.5</v>
      </c>
      <c r="F12" s="1">
        <v>0.45</v>
      </c>
      <c r="K12" s="10"/>
    </row>
    <row r="13" spans="1:12" ht="15.5">
      <c r="A13" s="1">
        <v>11</v>
      </c>
      <c r="B13" s="1" t="s">
        <v>56</v>
      </c>
      <c r="C13" s="12" t="s">
        <v>57</v>
      </c>
      <c r="D13" s="1">
        <v>0.4</v>
      </c>
      <c r="E13" s="1">
        <v>0.45</v>
      </c>
      <c r="F13" s="1">
        <v>0.4</v>
      </c>
      <c r="K13" s="10"/>
    </row>
    <row r="14" spans="1:12" ht="15.5">
      <c r="A14" s="1">
        <v>12</v>
      </c>
      <c r="B14" s="1" t="s">
        <v>58</v>
      </c>
      <c r="C14" s="12" t="s">
        <v>59</v>
      </c>
      <c r="D14" s="1">
        <v>0.5</v>
      </c>
      <c r="E14" s="1">
        <v>0.5</v>
      </c>
      <c r="F14" s="1">
        <v>0.45</v>
      </c>
      <c r="K14" s="10"/>
    </row>
    <row r="15" spans="1:12" ht="15.5">
      <c r="A15" s="1">
        <v>13</v>
      </c>
      <c r="B15" s="1" t="s">
        <v>60</v>
      </c>
      <c r="C15" s="12" t="s">
        <v>61</v>
      </c>
      <c r="D15" s="1">
        <v>0.4</v>
      </c>
      <c r="E15" s="1">
        <v>0.4</v>
      </c>
      <c r="F15" s="1">
        <v>0.35</v>
      </c>
      <c r="K15" s="10"/>
    </row>
    <row r="16" spans="1:12" ht="15.5">
      <c r="A16" s="1">
        <v>14</v>
      </c>
      <c r="B16" s="1" t="s">
        <v>62</v>
      </c>
      <c r="C16" s="12" t="s">
        <v>63</v>
      </c>
      <c r="D16" s="1">
        <v>0.35</v>
      </c>
      <c r="E16" s="1">
        <v>0.4</v>
      </c>
      <c r="F16" s="1">
        <v>0</v>
      </c>
      <c r="K16" s="10"/>
    </row>
    <row r="17" spans="1:11" ht="15.5">
      <c r="A17" s="1"/>
      <c r="K17" s="10"/>
    </row>
    <row r="18" spans="1:11" ht="15.5">
      <c r="A18" s="1"/>
      <c r="K18" s="10"/>
    </row>
    <row r="19" spans="1:11" ht="15.5">
      <c r="K19" s="10"/>
    </row>
    <row r="20" spans="1:11" ht="15.5">
      <c r="K20" s="10"/>
    </row>
    <row r="21" spans="1:11" ht="15.5">
      <c r="K21" s="10"/>
    </row>
    <row r="22" spans="1:11" ht="15.5">
      <c r="K22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workbookViewId="0">
      <selection activeCell="D5" sqref="D5"/>
    </sheetView>
  </sheetViews>
  <sheetFormatPr defaultColWidth="9" defaultRowHeight="14"/>
  <cols>
    <col min="2" max="2" width="13.6328125" customWidth="1"/>
    <col min="3" max="3" width="32.81640625" customWidth="1"/>
    <col min="4" max="4" width="17.54296875" customWidth="1"/>
  </cols>
  <sheetData>
    <row r="1" spans="1:5" ht="22.5">
      <c r="A1" s="22" t="s">
        <v>64</v>
      </c>
      <c r="B1" s="22"/>
      <c r="C1" s="22"/>
      <c r="D1" s="22"/>
    </row>
    <row r="2" spans="1:5" ht="15.5">
      <c r="A2" s="1" t="s">
        <v>10</v>
      </c>
      <c r="B2" s="1" t="s">
        <v>11</v>
      </c>
      <c r="C2" s="1" t="s">
        <v>12</v>
      </c>
      <c r="D2" s="1" t="s">
        <v>65</v>
      </c>
      <c r="E2" s="1"/>
    </row>
    <row r="3" spans="1:5" ht="15.5">
      <c r="A3" s="20">
        <v>1</v>
      </c>
      <c r="B3" s="20" t="s">
        <v>36</v>
      </c>
      <c r="C3" s="1" t="s">
        <v>66</v>
      </c>
      <c r="D3" s="1">
        <v>0.5</v>
      </c>
    </row>
    <row r="4" spans="1:5" ht="15.5">
      <c r="A4" s="20">
        <v>2</v>
      </c>
      <c r="B4" s="20" t="s">
        <v>38</v>
      </c>
      <c r="C4" s="1" t="s">
        <v>39</v>
      </c>
      <c r="D4" s="1">
        <v>1</v>
      </c>
    </row>
    <row r="5" spans="1:5" ht="15.5">
      <c r="A5" s="20">
        <v>3</v>
      </c>
      <c r="B5" s="20" t="s">
        <v>40</v>
      </c>
      <c r="C5" s="1" t="s">
        <v>41</v>
      </c>
      <c r="D5" s="1">
        <v>0.5</v>
      </c>
    </row>
    <row r="6" spans="1:5" ht="15.5">
      <c r="A6" s="20">
        <v>4</v>
      </c>
      <c r="B6" s="20" t="s">
        <v>42</v>
      </c>
      <c r="C6" s="1" t="s">
        <v>43</v>
      </c>
      <c r="D6" s="1">
        <v>1</v>
      </c>
    </row>
    <row r="7" spans="1:5" ht="15.5">
      <c r="A7" s="20">
        <v>5</v>
      </c>
      <c r="B7" s="20" t="s">
        <v>44</v>
      </c>
      <c r="C7" s="1" t="s">
        <v>45</v>
      </c>
      <c r="D7" s="1">
        <v>0.75</v>
      </c>
    </row>
    <row r="8" spans="1:5" ht="15.5">
      <c r="A8" s="20">
        <v>6</v>
      </c>
      <c r="B8" s="20" t="s">
        <v>46</v>
      </c>
      <c r="C8" s="1" t="s">
        <v>47</v>
      </c>
      <c r="D8" s="1">
        <v>1.2</v>
      </c>
    </row>
    <row r="9" spans="1:5" ht="15.5">
      <c r="A9" s="20">
        <v>7</v>
      </c>
      <c r="B9" s="20" t="s">
        <v>48</v>
      </c>
      <c r="C9" s="1" t="s">
        <v>49</v>
      </c>
      <c r="D9" s="1">
        <v>1</v>
      </c>
    </row>
    <row r="10" spans="1:5" ht="15.5">
      <c r="A10" s="20">
        <v>8</v>
      </c>
      <c r="B10" s="20" t="s">
        <v>50</v>
      </c>
      <c r="C10" s="1" t="s">
        <v>51</v>
      </c>
      <c r="D10" s="1">
        <v>0</v>
      </c>
    </row>
    <row r="11" spans="1:5" ht="15.5">
      <c r="A11" s="20">
        <v>9</v>
      </c>
      <c r="B11" s="20" t="s">
        <v>52</v>
      </c>
      <c r="C11" s="1" t="s">
        <v>53</v>
      </c>
      <c r="D11" s="1">
        <v>0.75</v>
      </c>
    </row>
    <row r="12" spans="1:5" ht="15.5">
      <c r="A12" s="20">
        <v>10</v>
      </c>
      <c r="B12" s="20" t="s">
        <v>54</v>
      </c>
      <c r="C12" s="1" t="s">
        <v>67</v>
      </c>
      <c r="D12" s="1">
        <v>0.3</v>
      </c>
    </row>
    <row r="13" spans="1:5" ht="15.5">
      <c r="A13" s="20">
        <v>11</v>
      </c>
      <c r="B13" s="20" t="s">
        <v>56</v>
      </c>
      <c r="C13" s="1" t="s">
        <v>57</v>
      </c>
      <c r="D13" s="1">
        <v>0.3</v>
      </c>
    </row>
    <row r="14" spans="1:5" ht="15.5">
      <c r="A14" s="20">
        <v>12</v>
      </c>
      <c r="B14" s="20" t="s">
        <v>58</v>
      </c>
      <c r="C14" s="1" t="s">
        <v>59</v>
      </c>
      <c r="D14" s="1">
        <v>1.5</v>
      </c>
    </row>
    <row r="15" spans="1:5" ht="15.5">
      <c r="A15" s="20">
        <v>13</v>
      </c>
      <c r="B15" s="20" t="s">
        <v>60</v>
      </c>
      <c r="C15" s="1" t="s">
        <v>61</v>
      </c>
      <c r="D15" s="1">
        <v>1.35</v>
      </c>
    </row>
    <row r="16" spans="1:5" ht="15.5">
      <c r="A16" s="20">
        <v>14</v>
      </c>
      <c r="B16" s="20" t="s">
        <v>62</v>
      </c>
      <c r="C16" s="1" t="s">
        <v>63</v>
      </c>
      <c r="D16" s="1">
        <v>0.85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1"/>
  <sheetViews>
    <sheetView workbookViewId="0">
      <selection activeCell="A2" sqref="A2:C16"/>
    </sheetView>
  </sheetViews>
  <sheetFormatPr defaultColWidth="9" defaultRowHeight="15.5"/>
  <cols>
    <col min="1" max="1" width="8.81640625" customWidth="1"/>
    <col min="2" max="2" width="17.36328125" customWidth="1"/>
    <col min="3" max="3" width="28.6328125" customWidth="1"/>
    <col min="4" max="4" width="16.81640625" customWidth="1"/>
    <col min="5" max="5" width="21.1796875" customWidth="1"/>
    <col min="6" max="6" width="19.90625" customWidth="1"/>
    <col min="7" max="7" width="16.453125" customWidth="1"/>
    <col min="8" max="8" width="12.90625" customWidth="1"/>
    <col min="9" max="9" width="13.36328125" customWidth="1"/>
    <col min="10" max="10" width="25.26953125" style="10" customWidth="1"/>
    <col min="11" max="11" width="11.36328125" customWidth="1"/>
  </cols>
  <sheetData>
    <row r="1" spans="1:11" ht="20">
      <c r="A1" s="23" t="s">
        <v>68</v>
      </c>
      <c r="B1" s="23"/>
      <c r="C1" s="23"/>
      <c r="D1" s="23"/>
    </row>
    <row r="2" spans="1:11">
      <c r="A2" s="1" t="s">
        <v>10</v>
      </c>
      <c r="B2" s="1" t="s">
        <v>11</v>
      </c>
      <c r="C2" s="1" t="s">
        <v>12</v>
      </c>
      <c r="D2" s="1" t="s">
        <v>68</v>
      </c>
      <c r="E2" s="1"/>
    </row>
    <row r="3" spans="1:11">
      <c r="A3" s="1">
        <v>1</v>
      </c>
      <c r="B3" s="1" t="s">
        <v>36</v>
      </c>
      <c r="C3" s="1" t="s">
        <v>66</v>
      </c>
      <c r="D3" s="1">
        <v>4.2</v>
      </c>
      <c r="E3" s="11"/>
    </row>
    <row r="4" spans="1:11">
      <c r="A4" s="1">
        <v>2</v>
      </c>
      <c r="B4" s="1" t="s">
        <v>38</v>
      </c>
      <c r="C4" s="1" t="s">
        <v>39</v>
      </c>
      <c r="D4" s="1">
        <v>5.8</v>
      </c>
      <c r="E4" s="1"/>
    </row>
    <row r="5" spans="1:11">
      <c r="A5" s="1">
        <v>3</v>
      </c>
      <c r="B5" s="1" t="s">
        <v>40</v>
      </c>
      <c r="C5" s="1" t="s">
        <v>41</v>
      </c>
      <c r="D5" s="1">
        <v>5.8</v>
      </c>
    </row>
    <row r="6" spans="1:11">
      <c r="A6" s="1">
        <v>4</v>
      </c>
      <c r="B6" s="1" t="s">
        <v>42</v>
      </c>
      <c r="C6" s="1" t="s">
        <v>43</v>
      </c>
      <c r="D6" s="1">
        <v>4.5</v>
      </c>
      <c r="E6" s="1"/>
      <c r="F6" s="1"/>
      <c r="G6" s="1"/>
      <c r="H6" s="1"/>
      <c r="I6" s="1"/>
      <c r="J6" s="1"/>
      <c r="K6" s="1"/>
    </row>
    <row r="7" spans="1:11">
      <c r="A7" s="1">
        <v>5</v>
      </c>
      <c r="B7" s="1" t="s">
        <v>44</v>
      </c>
      <c r="C7" s="1" t="s">
        <v>45</v>
      </c>
      <c r="D7" s="1">
        <v>5.5</v>
      </c>
    </row>
    <row r="8" spans="1:11">
      <c r="A8" s="1">
        <v>6</v>
      </c>
      <c r="B8" s="1" t="s">
        <v>46</v>
      </c>
      <c r="C8" s="1" t="s">
        <v>47</v>
      </c>
      <c r="D8" s="1">
        <v>7.5</v>
      </c>
    </row>
    <row r="9" spans="1:11">
      <c r="A9" s="1">
        <v>7</v>
      </c>
      <c r="B9" s="1" t="s">
        <v>48</v>
      </c>
      <c r="C9" s="1" t="s">
        <v>49</v>
      </c>
      <c r="D9" s="1">
        <v>5.3</v>
      </c>
    </row>
    <row r="10" spans="1:11">
      <c r="A10" s="1">
        <v>8</v>
      </c>
      <c r="B10" s="1" t="s">
        <v>50</v>
      </c>
      <c r="C10" s="1" t="s">
        <v>51</v>
      </c>
      <c r="D10" s="1">
        <v>6.8</v>
      </c>
    </row>
    <row r="11" spans="1:11">
      <c r="A11" s="1">
        <v>9</v>
      </c>
      <c r="B11" s="1" t="s">
        <v>52</v>
      </c>
      <c r="C11" s="1" t="s">
        <v>53</v>
      </c>
      <c r="D11" s="1">
        <v>6.3</v>
      </c>
    </row>
    <row r="12" spans="1:11">
      <c r="A12" s="1">
        <v>10</v>
      </c>
      <c r="B12" s="1" t="s">
        <v>54</v>
      </c>
      <c r="C12" s="1" t="s">
        <v>67</v>
      </c>
      <c r="D12" s="1">
        <v>8.3000000000000007</v>
      </c>
    </row>
    <row r="13" spans="1:11">
      <c r="A13" s="1">
        <v>11</v>
      </c>
      <c r="B13" s="1" t="s">
        <v>56</v>
      </c>
      <c r="C13" s="1" t="s">
        <v>57</v>
      </c>
      <c r="D13" s="1">
        <v>-3</v>
      </c>
    </row>
    <row r="14" spans="1:11">
      <c r="A14" s="1">
        <v>12</v>
      </c>
      <c r="B14" s="1" t="s">
        <v>58</v>
      </c>
      <c r="C14" s="1" t="s">
        <v>59</v>
      </c>
      <c r="D14" s="1">
        <v>7</v>
      </c>
    </row>
    <row r="15" spans="1:11">
      <c r="A15" s="1">
        <v>13</v>
      </c>
      <c r="B15" s="1" t="s">
        <v>60</v>
      </c>
      <c r="C15" s="1" t="s">
        <v>61</v>
      </c>
      <c r="D15" s="1">
        <v>-3</v>
      </c>
    </row>
    <row r="16" spans="1:11">
      <c r="A16" s="1">
        <v>14</v>
      </c>
      <c r="B16" s="1" t="s">
        <v>62</v>
      </c>
      <c r="C16" s="1" t="s">
        <v>63</v>
      </c>
      <c r="D16" s="1">
        <v>6.5</v>
      </c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2"/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7"/>
  <sheetViews>
    <sheetView topLeftCell="A11" workbookViewId="0">
      <selection activeCell="F24" sqref="F24"/>
    </sheetView>
  </sheetViews>
  <sheetFormatPr defaultColWidth="9" defaultRowHeight="14"/>
  <cols>
    <col min="1" max="1" width="23.453125" customWidth="1"/>
    <col min="2" max="2" width="28.26953125" customWidth="1"/>
    <col min="3" max="3" width="22.7265625" customWidth="1"/>
    <col min="4" max="4" width="6.54296875" customWidth="1"/>
    <col min="5" max="5" width="24.453125" customWidth="1"/>
    <col min="6" max="6" width="20.90625" customWidth="1"/>
  </cols>
  <sheetData>
    <row r="1" spans="1:6" ht="20">
      <c r="A1" s="24" t="s">
        <v>69</v>
      </c>
      <c r="B1" s="24"/>
      <c r="C1" s="24"/>
      <c r="E1" s="27" t="s">
        <v>70</v>
      </c>
      <c r="F1" s="27"/>
    </row>
    <row r="2" spans="1:6" ht="15.5">
      <c r="A2" s="1" t="s">
        <v>19</v>
      </c>
      <c r="B2" s="1" t="s">
        <v>20</v>
      </c>
      <c r="C2" s="1" t="s">
        <v>71</v>
      </c>
      <c r="E2" s="27"/>
      <c r="F2" s="27"/>
    </row>
    <row r="3" spans="1:6" ht="18">
      <c r="A3" s="1">
        <v>0</v>
      </c>
      <c r="B3" s="1" t="s">
        <v>72</v>
      </c>
      <c r="C3" s="1">
        <v>0</v>
      </c>
      <c r="E3" s="2" t="s">
        <v>73</v>
      </c>
      <c r="F3" s="2" t="s">
        <v>74</v>
      </c>
    </row>
    <row r="4" spans="1:6" ht="15.5">
      <c r="A4" s="1">
        <v>4</v>
      </c>
      <c r="B4" s="1" t="s">
        <v>75</v>
      </c>
      <c r="C4" s="1">
        <v>1</v>
      </c>
      <c r="E4" s="3">
        <v>0</v>
      </c>
      <c r="F4" s="1">
        <v>1</v>
      </c>
    </row>
    <row r="5" spans="1:6" ht="15.5">
      <c r="A5" s="1">
        <v>5</v>
      </c>
      <c r="B5" s="1" t="s">
        <v>76</v>
      </c>
      <c r="C5" s="1">
        <v>1.5</v>
      </c>
      <c r="E5" s="3">
        <v>1</v>
      </c>
      <c r="F5" s="1">
        <v>0.5</v>
      </c>
    </row>
    <row r="6" spans="1:6" ht="15.5">
      <c r="A6" s="1">
        <v>5.5</v>
      </c>
      <c r="B6" s="1" t="s">
        <v>77</v>
      </c>
      <c r="C6" s="1">
        <v>2</v>
      </c>
      <c r="E6" s="3">
        <v>2</v>
      </c>
      <c r="F6" s="4">
        <v>0.25</v>
      </c>
    </row>
    <row r="7" spans="1:6" ht="15.5">
      <c r="A7" s="1">
        <v>6.5</v>
      </c>
      <c r="B7" s="1" t="s">
        <v>78</v>
      </c>
      <c r="C7" s="1">
        <v>2.5</v>
      </c>
      <c r="E7" s="3"/>
      <c r="F7" s="3"/>
    </row>
    <row r="8" spans="1:6" ht="15.5">
      <c r="A8" s="1">
        <v>7</v>
      </c>
      <c r="B8" s="1" t="s">
        <v>79</v>
      </c>
      <c r="C8" s="1">
        <v>3</v>
      </c>
    </row>
    <row r="9" spans="1:6" ht="15.5">
      <c r="A9" s="1">
        <v>8</v>
      </c>
      <c r="B9" s="1" t="s">
        <v>80</v>
      </c>
      <c r="C9" s="1">
        <v>3.5</v>
      </c>
    </row>
    <row r="10" spans="1:6" ht="15.5">
      <c r="A10" s="1">
        <v>9</v>
      </c>
      <c r="B10" s="1" t="s">
        <v>81</v>
      </c>
      <c r="C10" s="1">
        <v>4</v>
      </c>
    </row>
    <row r="12" spans="1:6" ht="17.5">
      <c r="A12" s="25" t="s">
        <v>82</v>
      </c>
      <c r="B12" s="25"/>
      <c r="C12" s="25"/>
      <c r="E12" s="25" t="s">
        <v>83</v>
      </c>
      <c r="F12" s="25"/>
    </row>
    <row r="13" spans="1:6" ht="18">
      <c r="A13" s="1" t="s">
        <v>10</v>
      </c>
      <c r="B13" s="1" t="s">
        <v>11</v>
      </c>
      <c r="C13" s="1" t="s">
        <v>12</v>
      </c>
      <c r="E13" s="2" t="s">
        <v>20</v>
      </c>
      <c r="F13" s="6" t="s">
        <v>84</v>
      </c>
    </row>
    <row r="14" spans="1:6" ht="15.5">
      <c r="A14" s="1">
        <v>1</v>
      </c>
      <c r="B14" s="1" t="s">
        <v>36</v>
      </c>
      <c r="C14" s="1" t="s">
        <v>66</v>
      </c>
      <c r="E14" s="4" t="s">
        <v>81</v>
      </c>
    </row>
    <row r="15" spans="1:6" ht="15.5">
      <c r="A15" s="1">
        <v>2</v>
      </c>
      <c r="B15" s="1" t="s">
        <v>38</v>
      </c>
      <c r="C15" s="1" t="s">
        <v>39</v>
      </c>
      <c r="E15" s="4" t="s">
        <v>80</v>
      </c>
    </row>
    <row r="16" spans="1:6" ht="15.5">
      <c r="A16" s="1">
        <v>3</v>
      </c>
      <c r="B16" s="1" t="s">
        <v>40</v>
      </c>
      <c r="C16" s="1" t="s">
        <v>41</v>
      </c>
      <c r="E16" s="4" t="s">
        <v>79</v>
      </c>
    </row>
    <row r="17" spans="1:6" ht="15.5">
      <c r="A17" s="1">
        <v>4</v>
      </c>
      <c r="B17" s="1" t="s">
        <v>42</v>
      </c>
      <c r="C17" s="1" t="s">
        <v>43</v>
      </c>
      <c r="E17" s="4" t="s">
        <v>78</v>
      </c>
    </row>
    <row r="18" spans="1:6" ht="15.5">
      <c r="A18" s="1">
        <v>5</v>
      </c>
      <c r="B18" s="1" t="s">
        <v>44</v>
      </c>
      <c r="C18" s="1" t="s">
        <v>45</v>
      </c>
      <c r="E18" s="4" t="s">
        <v>77</v>
      </c>
    </row>
    <row r="19" spans="1:6" ht="15.5">
      <c r="A19" s="1">
        <v>6</v>
      </c>
      <c r="B19" s="1" t="s">
        <v>46</v>
      </c>
      <c r="C19" s="1" t="s">
        <v>47</v>
      </c>
      <c r="E19" s="4" t="s">
        <v>76</v>
      </c>
    </row>
    <row r="20" spans="1:6" ht="15.5">
      <c r="A20" s="1">
        <v>7</v>
      </c>
      <c r="B20" s="1" t="s">
        <v>48</v>
      </c>
      <c r="C20" s="1" t="s">
        <v>49</v>
      </c>
      <c r="E20" s="4" t="s">
        <v>75</v>
      </c>
    </row>
    <row r="21" spans="1:6" ht="15.5">
      <c r="A21" s="1">
        <v>8</v>
      </c>
      <c r="B21" s="1" t="s">
        <v>50</v>
      </c>
      <c r="C21" s="1" t="s">
        <v>51</v>
      </c>
      <c r="E21" s="4" t="s">
        <v>72</v>
      </c>
    </row>
    <row r="22" spans="1:6" ht="17.5">
      <c r="A22" s="1">
        <v>9</v>
      </c>
      <c r="B22" s="1" t="s">
        <v>52</v>
      </c>
      <c r="C22" s="1" t="s">
        <v>53</v>
      </c>
      <c r="E22" s="7"/>
      <c r="F22" s="7"/>
    </row>
    <row r="23" spans="1:6" ht="17.5">
      <c r="A23" s="1">
        <v>10</v>
      </c>
      <c r="B23" s="1" t="s">
        <v>54</v>
      </c>
      <c r="C23" s="1" t="s">
        <v>67</v>
      </c>
      <c r="E23" s="26" t="s">
        <v>85</v>
      </c>
      <c r="F23" s="26"/>
    </row>
    <row r="24" spans="1:6" ht="31">
      <c r="A24" s="1">
        <v>11</v>
      </c>
      <c r="B24" s="1" t="s">
        <v>56</v>
      </c>
      <c r="C24" s="1" t="s">
        <v>57</v>
      </c>
      <c r="E24" s="8" t="s">
        <v>86</v>
      </c>
      <c r="F24" s="5">
        <f>COUNTIF('Tổng hợp điểm'!$J$7:$J$20, "&gt;=7")</f>
        <v>3</v>
      </c>
    </row>
    <row r="25" spans="1:6" ht="17.5">
      <c r="A25" s="1">
        <v>12</v>
      </c>
      <c r="B25" s="1" t="s">
        <v>58</v>
      </c>
      <c r="C25" s="1" t="s">
        <v>59</v>
      </c>
      <c r="E25" s="9" t="s">
        <v>87</v>
      </c>
      <c r="F25" s="5">
        <f>COUNTIF('Tổng hợp điểm'!$J$7:$J$20, "&lt;7")</f>
        <v>11</v>
      </c>
    </row>
    <row r="26" spans="1:6" ht="15.5">
      <c r="A26" s="1">
        <v>13</v>
      </c>
      <c r="B26" s="1" t="s">
        <v>60</v>
      </c>
      <c r="C26" s="1" t="s">
        <v>61</v>
      </c>
    </row>
    <row r="27" spans="1:6" ht="15.5">
      <c r="A27" s="1">
        <v>14</v>
      </c>
      <c r="B27" s="1" t="s">
        <v>62</v>
      </c>
      <c r="C27" s="1" t="s">
        <v>63</v>
      </c>
    </row>
  </sheetData>
  <mergeCells count="5">
    <mergeCell ref="A1:C1"/>
    <mergeCell ref="A12:C12"/>
    <mergeCell ref="E12:F12"/>
    <mergeCell ref="E23:F23"/>
    <mergeCell ref="E1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2F682-51BC-4AF0-9122-C89569D821A6}">
  <dimension ref="A1:K12"/>
  <sheetViews>
    <sheetView tabSelected="1" workbookViewId="0">
      <selection activeCell="D12" sqref="D12"/>
    </sheetView>
  </sheetViews>
  <sheetFormatPr defaultRowHeight="14"/>
  <cols>
    <col min="1" max="1" width="9.54296875" customWidth="1"/>
    <col min="2" max="2" width="15.6328125" customWidth="1"/>
    <col min="3" max="3" width="19" customWidth="1"/>
    <col min="4" max="4" width="16.90625" customWidth="1"/>
    <col min="5" max="5" width="20.453125" customWidth="1"/>
    <col min="6" max="6" width="16.90625" customWidth="1"/>
    <col min="7" max="7" width="15.90625" customWidth="1"/>
    <col min="8" max="8" width="14.90625" customWidth="1"/>
    <col min="9" max="9" width="12.7265625" customWidth="1"/>
    <col min="10" max="10" width="11.7265625" customWidth="1"/>
    <col min="11" max="11" width="13.7265625" customWidth="1"/>
  </cols>
  <sheetData>
    <row r="1" spans="1:11" ht="15.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spans="1:11" ht="15.5">
      <c r="A2" s="1">
        <v>1</v>
      </c>
      <c r="B2" s="1" t="s">
        <v>21</v>
      </c>
      <c r="C2" s="19" t="s">
        <v>66</v>
      </c>
      <c r="D2" s="20">
        <v>0.45</v>
      </c>
      <c r="E2" s="20">
        <v>0.25</v>
      </c>
      <c r="F2" s="20">
        <v>0.3</v>
      </c>
      <c r="G2" s="20">
        <v>0.5</v>
      </c>
      <c r="H2" s="20">
        <v>4.2</v>
      </c>
      <c r="I2" s="20">
        <v>4</v>
      </c>
      <c r="J2" s="20">
        <v>5</v>
      </c>
      <c r="K2" s="20" t="s">
        <v>76</v>
      </c>
    </row>
    <row r="3" spans="1:11" ht="15.5">
      <c r="A3" s="1">
        <v>2</v>
      </c>
      <c r="B3" s="1" t="s">
        <v>22</v>
      </c>
      <c r="C3" s="19" t="s">
        <v>39</v>
      </c>
      <c r="D3" s="20">
        <v>0.5</v>
      </c>
      <c r="E3" s="20">
        <v>0.35</v>
      </c>
      <c r="F3" s="20">
        <v>0.4</v>
      </c>
      <c r="G3" s="20">
        <v>1</v>
      </c>
      <c r="H3" s="20">
        <v>5.8</v>
      </c>
      <c r="I3" s="20">
        <v>5.7</v>
      </c>
      <c r="J3" s="20">
        <v>6.2</v>
      </c>
      <c r="K3" s="20" t="s">
        <v>77</v>
      </c>
    </row>
    <row r="4" spans="1:11" ht="15.5">
      <c r="A4" s="1">
        <v>3</v>
      </c>
      <c r="B4" s="1" t="s">
        <v>23</v>
      </c>
      <c r="C4" s="19" t="s">
        <v>41</v>
      </c>
      <c r="D4" s="20">
        <v>0.25</v>
      </c>
      <c r="E4" s="20">
        <v>0.25</v>
      </c>
      <c r="F4" s="20">
        <v>0.3</v>
      </c>
      <c r="G4" s="20">
        <v>0.5</v>
      </c>
      <c r="H4" s="20">
        <v>5.8</v>
      </c>
      <c r="I4" s="20">
        <v>4.8</v>
      </c>
      <c r="J4" s="20">
        <v>5.8</v>
      </c>
      <c r="K4" s="20" t="s">
        <v>77</v>
      </c>
    </row>
    <row r="5" spans="1:11" ht="15.5">
      <c r="A5" s="1">
        <v>4</v>
      </c>
      <c r="B5" s="1" t="s">
        <v>24</v>
      </c>
      <c r="C5" s="19" t="s">
        <v>43</v>
      </c>
      <c r="D5" s="20">
        <v>0.4</v>
      </c>
      <c r="E5" s="20">
        <v>0.25</v>
      </c>
      <c r="F5" s="20">
        <v>0.35</v>
      </c>
      <c r="G5" s="20">
        <v>1</v>
      </c>
      <c r="H5" s="20">
        <v>4.5</v>
      </c>
      <c r="I5" s="20">
        <v>4.7</v>
      </c>
      <c r="J5" s="20">
        <v>5.7</v>
      </c>
      <c r="K5" s="20" t="s">
        <v>77</v>
      </c>
    </row>
    <row r="6" spans="1:11" ht="15.5">
      <c r="A6" s="1">
        <v>5</v>
      </c>
      <c r="B6" s="1" t="s">
        <v>25</v>
      </c>
      <c r="C6" s="19" t="s">
        <v>45</v>
      </c>
      <c r="D6" s="20">
        <v>0.45</v>
      </c>
      <c r="E6" s="20">
        <v>0.4</v>
      </c>
      <c r="F6" s="20">
        <v>0.35</v>
      </c>
      <c r="G6" s="20">
        <v>0.75</v>
      </c>
      <c r="H6" s="20">
        <v>5.5</v>
      </c>
      <c r="I6" s="20">
        <v>5.3</v>
      </c>
      <c r="J6" s="20">
        <v>5.6</v>
      </c>
      <c r="K6" s="20" t="s">
        <v>77</v>
      </c>
    </row>
    <row r="7" spans="1:11" ht="15.5">
      <c r="A7" s="1">
        <v>7</v>
      </c>
      <c r="B7" s="1" t="s">
        <v>27</v>
      </c>
      <c r="C7" s="19" t="s">
        <v>49</v>
      </c>
      <c r="D7" s="20">
        <v>0.4</v>
      </c>
      <c r="E7" s="20">
        <v>0.4</v>
      </c>
      <c r="F7" s="20">
        <v>0.4</v>
      </c>
      <c r="G7" s="20">
        <v>1</v>
      </c>
      <c r="H7" s="20">
        <v>5.3</v>
      </c>
      <c r="I7" s="20">
        <v>5.4</v>
      </c>
      <c r="J7" s="20">
        <v>6.4</v>
      </c>
      <c r="K7" s="20" t="s">
        <v>77</v>
      </c>
    </row>
    <row r="8" spans="1:11" ht="15.5">
      <c r="A8" s="1">
        <v>8</v>
      </c>
      <c r="B8" s="1" t="s">
        <v>28</v>
      </c>
      <c r="C8" s="19" t="s">
        <v>51</v>
      </c>
      <c r="D8" s="20">
        <v>0.45</v>
      </c>
      <c r="E8" s="20">
        <v>0.4</v>
      </c>
      <c r="F8" s="20">
        <v>0.45</v>
      </c>
      <c r="G8" s="20">
        <v>0</v>
      </c>
      <c r="H8" s="20">
        <v>6.8</v>
      </c>
      <c r="I8" s="20">
        <v>5.4</v>
      </c>
      <c r="J8" s="20">
        <v>0</v>
      </c>
      <c r="K8" s="20" t="s">
        <v>72</v>
      </c>
    </row>
    <row r="9" spans="1:11" ht="15.5">
      <c r="A9" s="1">
        <v>9</v>
      </c>
      <c r="B9" s="1" t="s">
        <v>29</v>
      </c>
      <c r="C9" s="19" t="s">
        <v>53</v>
      </c>
      <c r="D9" s="20">
        <v>0.45</v>
      </c>
      <c r="E9" s="20">
        <v>0.4</v>
      </c>
      <c r="F9" s="20">
        <v>0.4</v>
      </c>
      <c r="G9" s="20">
        <v>0.75</v>
      </c>
      <c r="H9" s="20">
        <v>6.3</v>
      </c>
      <c r="I9" s="20">
        <v>5.8</v>
      </c>
      <c r="J9" s="20">
        <v>6.8</v>
      </c>
      <c r="K9" s="20" t="s">
        <v>78</v>
      </c>
    </row>
    <row r="10" spans="1:11" ht="15.5">
      <c r="A10" s="1">
        <v>11</v>
      </c>
      <c r="B10" s="1" t="s">
        <v>31</v>
      </c>
      <c r="C10" s="19" t="s">
        <v>57</v>
      </c>
      <c r="D10" s="20">
        <v>0.4</v>
      </c>
      <c r="E10" s="20">
        <v>0.45</v>
      </c>
      <c r="F10" s="20">
        <v>0.4</v>
      </c>
      <c r="G10" s="20">
        <v>0.3</v>
      </c>
      <c r="H10" s="20">
        <v>-3</v>
      </c>
      <c r="I10" s="20">
        <v>0</v>
      </c>
      <c r="J10" s="20">
        <v>0</v>
      </c>
      <c r="K10" s="20" t="s">
        <v>72</v>
      </c>
    </row>
    <row r="11" spans="1:11" ht="15.5">
      <c r="A11" s="1">
        <v>13</v>
      </c>
      <c r="B11" s="1" t="s">
        <v>33</v>
      </c>
      <c r="C11" s="19" t="s">
        <v>61</v>
      </c>
      <c r="D11" s="20">
        <v>0.4</v>
      </c>
      <c r="E11" s="20">
        <v>0.4</v>
      </c>
      <c r="F11" s="20">
        <v>0.35</v>
      </c>
      <c r="G11" s="20">
        <v>1.35</v>
      </c>
      <c r="H11" s="20">
        <v>-3</v>
      </c>
      <c r="I11" s="20">
        <v>0</v>
      </c>
      <c r="J11" s="20">
        <v>0</v>
      </c>
      <c r="K11" s="20" t="s">
        <v>72</v>
      </c>
    </row>
    <row r="12" spans="1:11" ht="15.5">
      <c r="A12" s="1">
        <v>14</v>
      </c>
      <c r="B12" s="1" t="s">
        <v>34</v>
      </c>
      <c r="C12" s="19" t="s">
        <v>63</v>
      </c>
      <c r="D12" s="20">
        <v>0.35</v>
      </c>
      <c r="E12" s="20">
        <v>0.4</v>
      </c>
      <c r="F12" s="20">
        <v>0</v>
      </c>
      <c r="G12" s="20">
        <v>0.85</v>
      </c>
      <c r="H12" s="20">
        <v>6.5</v>
      </c>
      <c r="I12" s="20">
        <v>5.5</v>
      </c>
      <c r="J12" s="20">
        <v>6.5</v>
      </c>
      <c r="K12" s="20" t="s">
        <v>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02D65-BE11-4807-9B30-67932B83EDDE}">
  <dimension ref="A1:K2"/>
  <sheetViews>
    <sheetView workbookViewId="0">
      <selection activeCell="F2" sqref="F2"/>
    </sheetView>
  </sheetViews>
  <sheetFormatPr defaultRowHeight="14"/>
  <cols>
    <col min="2" max="2" width="13.36328125" customWidth="1"/>
    <col min="3" max="3" width="21.36328125" customWidth="1"/>
    <col min="4" max="4" width="13" customWidth="1"/>
    <col min="5" max="5" width="15.36328125" customWidth="1"/>
    <col min="6" max="6" width="14.7265625" customWidth="1"/>
    <col min="7" max="7" width="15.08984375" customWidth="1"/>
    <col min="8" max="8" width="14.6328125" customWidth="1"/>
    <col min="9" max="9" width="11.6328125" customWidth="1"/>
    <col min="10" max="10" width="22.7265625" customWidth="1"/>
    <col min="11" max="11" width="17.36328125" customWidth="1"/>
  </cols>
  <sheetData>
    <row r="1" spans="1:11" ht="15.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spans="1:11" ht="15.5">
      <c r="A2" s="1">
        <v>6</v>
      </c>
      <c r="B2" s="1" t="s">
        <v>26</v>
      </c>
      <c r="C2" s="19" t="s">
        <v>47</v>
      </c>
      <c r="D2" s="20">
        <v>0.4</v>
      </c>
      <c r="E2" s="20">
        <v>0.45</v>
      </c>
      <c r="F2" s="20">
        <v>0.5</v>
      </c>
      <c r="G2" s="20">
        <v>1.2</v>
      </c>
      <c r="H2" s="20">
        <v>7.5</v>
      </c>
      <c r="I2" s="20">
        <v>7.1</v>
      </c>
      <c r="J2" s="20">
        <v>8.1</v>
      </c>
      <c r="K2" s="20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Tổng hợp điểm</vt:lpstr>
      <vt:lpstr>Điểm thực hành các buổi</vt:lpstr>
      <vt:lpstr>Điểm bài tập lớn</vt:lpstr>
      <vt:lpstr>Điểm lý thuyết</vt:lpstr>
      <vt:lpstr>Các bảng tham chiếu &amp; Thống kê</vt:lpstr>
      <vt:lpstr>Sinh viên điểm &lt; 7</vt:lpstr>
      <vt:lpstr>Sinh viên điểm &gt;=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 Huu</dc:creator>
  <cp:lastModifiedBy>Nguyen Thi Ngoc Thu</cp:lastModifiedBy>
  <dcterms:created xsi:type="dcterms:W3CDTF">2026-09-19T00:25:00Z</dcterms:created>
  <dcterms:modified xsi:type="dcterms:W3CDTF">2026-09-24T01:35:20Z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5D9BEB4356894228BCCCC50BE86BD31C_12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